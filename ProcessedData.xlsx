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19" documentId="8_{6645E0B6-6650-4301-982F-867F029B23F5}" xr6:coauthVersionLast="47" xr6:coauthVersionMax="47" xr10:uidLastSave="{4E3E4DDA-CEE7-42BD-A72C-F263B1F8CB88}"/>
  <bookViews>
    <workbookView xWindow="-108" yWindow="-108" windowWidth="23256" windowHeight="12456" firstSheet="1" activeTab="4" xr2:uid="{B15ED8CA-289F-4B01-992D-2ED89A4C3120}"/>
  </bookViews>
  <sheets>
    <sheet name="Runtime Conditions" sheetId="1" r:id="rId1"/>
    <sheet name="Accuracy - NoInternet" sheetId="2" r:id="rId2"/>
    <sheet name="Steps - NoInternet" sheetId="4" r:id="rId3"/>
    <sheet name="Accuracy - Internet" sheetId="3" r:id="rId4"/>
    <sheet name="Steps - Interne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<sst xmlns="http://schemas.openxmlformats.org/spreadsheetml/2006/main" count="180" uniqueCount="139">
  <si>
    <t>Model and Mode</t>
  </si>
  <si>
    <t>Vaguely Informed</t>
  </si>
  <si>
    <t>Partially Informed</t>
  </si>
  <si>
    <t>Thoroughly Informed</t>
  </si>
  <si>
    <t>GPT5 - Thinking - No Internet</t>
  </si>
  <si>
    <t>GPT5 - Thinking - Internet</t>
  </si>
  <si>
    <t>SuperGrok - Expert - No Internet</t>
  </si>
  <si>
    <t>SuperGrok - Expert - Internet</t>
  </si>
  <si>
    <t>DeepSeek - DeepThink - No Internet</t>
  </si>
  <si>
    <t>DeepSeek - DeepThink - Internet</t>
  </si>
  <si>
    <t xml:space="preserve">No-Internet Compliance </t>
  </si>
  <si>
    <t>GPT5</t>
  </si>
  <si>
    <t>Yes</t>
  </si>
  <si>
    <t>SuperGrok</t>
  </si>
  <si>
    <t>No</t>
  </si>
  <si>
    <t>DeepSeek</t>
  </si>
  <si>
    <t>AVESTD</t>
  </si>
  <si>
    <t>AVERGE</t>
  </si>
  <si>
    <t>AVEAVE</t>
  </si>
  <si>
    <t>GPT5 - Thinking - 1</t>
  </si>
  <si>
    <t>GPT5 - Thinking - 2</t>
  </si>
  <si>
    <t>GPT5 - Thinking - 3</t>
  </si>
  <si>
    <t>SuperGrok - Expert - 1</t>
  </si>
  <si>
    <t>SuperGrok - Expert - 2</t>
  </si>
  <si>
    <t>SuperGrok - Expert - 3</t>
  </si>
  <si>
    <t>DeepSeek - DeepThink - 1</t>
  </si>
  <si>
    <t>DeepSeek - DeepThink - 2</t>
  </si>
  <si>
    <t>DeepSeek - DeepThink - 3</t>
  </si>
  <si>
    <t>ChatGPT-1</t>
  </si>
  <si>
    <t>ChatGPT-2</t>
  </si>
  <si>
    <t>ChatGPT-3</t>
  </si>
  <si>
    <t>SuperGrok - 1</t>
  </si>
  <si>
    <t>SuperGrok - 2</t>
  </si>
  <si>
    <t>SuperGrok - 3</t>
  </si>
  <si>
    <t>DeepSeek - 1</t>
  </si>
  <si>
    <t>DeepSeek - 2</t>
  </si>
  <si>
    <t>DeepSeek - 3</t>
  </si>
  <si>
    <t>Define the attack-angle vector x from the first row (degrees).</t>
  </si>
  <si>
    <t>For each data row r (treated independently), read y_r across columns.</t>
  </si>
  <si>
    <t>Identify index set K = {i | y_r[i] is known} and its ordered elements i_0 &lt; ... &lt; i_m.</t>
  </si>
  <si>
    <t>Interpolate any interior gaps i between i_0 and i_m linearly: ŷ[i] = y[i_j] + (y[i_{j+1}] - y[i_j]) * (x[i] - x[i_j]) / (x[i_{j+1}] - x[i_j]).</t>
  </si>
  <si>
    <t>Left-edge extrapolation (i &lt; i_0): using the first two known points i_0, i_1, slope m_L = (y[i_1]-y[i_0])/(x[i_1]-x[i_0]); set ŷ[i] = y[i_0] + m_L * (x[i] - x[i_0]).</t>
  </si>
  <si>
    <t>Right-edge extrapolation (i &gt; i_m): using the last two known points i_{m-1}, i_m, slope m_R = (y[i_m]-y[i_{m-1}])/(x[i_m]-x[i_{m-1}]); set ŷ[i] = y[i_m] + m_R * (x[i] - x[i_m]).</t>
  </si>
  <si>
    <t>If only one known point exists in a row, fill all missing entries with that constant value (nearest-neighbor).</t>
  </si>
  <si>
    <t>Write the completed matrix as Predictions; preserve original structure and angles.</t>
  </si>
  <si>
    <t>Read attack angles α (degrees) from the first row as the independent variable.</t>
  </si>
  <si>
    <t>For each subsequent row r, interpret the entries as Cd(α) for a fixed configuration; treat rows independently.</t>
  </si>
  <si>
    <t>Collect index set K = {i | Cd[i] is known} and corresponding pairs (α[i], Cd[i]).</t>
  </si>
  <si>
    <t>Fit a quadratic by least squares on K: minimize ||Cd - (a + b α + c α^2)||_2 to obtain coefficients (a,b,c).</t>
  </si>
  <si>
    <t>Evaluate the fitted model Cd̂(α) = a + b α + c α^2 at all α to fill blanks; keep original known values unchanged.</t>
  </si>
  <si>
    <t>Rationale: For steady subcritical flow, drag grows approximately quadratically with inclination/angle-of-attack due to increasing pressure/induced contributions; a parabolic Cd(α) model is a standard engineering approximation.</t>
  </si>
  <si>
    <t>If fewer than 3 known points exist in a row: fall back to linear fit (2 points) or constant (1 point).</t>
  </si>
  <si>
    <t>Export the completed table under 'Predictions' and these steps under 'Steps' in one workbook.</t>
  </si>
  <si>
    <t>Read the attack-angle vector α (degrees) from the first row.</t>
  </si>
  <si>
    <t>Treat each subsequent row r independently as a table of drag coefficient Cd(α) for a fixed configuration and speed.</t>
  </si>
  <si>
    <t>Collect known pairs (α_i, Cd_i); require at least three points to fit the physics-informed model.</t>
  </si>
  <si>
    <t>Model choice motivated by lifting-line/VLM + viscous drag: with C_L ≈ a(α−α0), induced drag C_Di = C_L^2/(π e AR) ⇒ Cd ≈ Cd0 + k(α−α0)^2 with k ≥ 0.</t>
  </si>
  <si>
    <t>Estimate (Cd0, k, α0) by grid-searching α0 over the span of known α, and for each α0 solving least squares for Cd ≈ Cd0 + k(α−α0)^2; enforce k ≥ 0.</t>
  </si>
  <si>
    <t>Evaluate the fitted model at all α to fill blanks; preserve the originally known values. Fallbacks: linear fit (2 known points) or constant (1 known point).</t>
  </si>
  <si>
    <t>Export the completed matrix as 'Predictions' and these steps as 'Steps' in one workbook.</t>
  </si>
  <si>
    <t>For each row (treated as an independent dataset), extract known angle of attack values α_known = [-5, -4, -3, -2, -1, 0, 1, 2, 3, 4, 5] and corresponding coefficients C_known from the provided data.</t>
  </si>
  <si>
    <t>Assume a polynomial model C(α) ≈ ∑_{k=0}^{d} a_k * α^k, with degree d=4, to capture the smooth, non-linear aerodynamic behavior in the small angle range without overfitting.</t>
  </si>
  <si>
    <t>Compute coefficients {a_4, a_3, a_2, a_1, a_0} via least squares: minimize ∑ (C_known_i - p(α_known_i))^2 using numerical fitting.</t>
  </si>
  <si>
    <t>Construct the polynomial function p(α) from the coefficients.</t>
  </si>
  <si>
    <t>Evaluate p(α) at missing angles α_missing = [-8, -7, -6, 6, 7, 8, 9, 10].</t>
  </si>
  <si>
    <t>Round predictions to 6 decimal places for precision matching the given data.</t>
  </si>
  <si>
    <t>Fill blanks in the row with predicted values, preserving known values.</t>
  </si>
  <si>
    <t>Extract known angles α_known = [-5, -4, -3, -2, -1, 0, 1, 2, 3, 4, 5] and corresponding Cd values for each independent row.</t>
  </si>
  <si>
    <t>Based on aerodynamic principles, model Cd(α) as quadratic: Cd ≈ a + bα + cα², capturing parasite drag (constant) and induced drag (~ α² via Cl²).</t>
  </si>
  <si>
    <t>Fit coefficients a, b, c using least squares regression on known data.</t>
  </si>
  <si>
    <t>Evaluate the quadratic at missing angles α_missing = [-8, -7, -6, 6, 7, 8, 9, 10].</t>
  </si>
  <si>
    <t>Round predictions to 6 decimal places to match data precision.</t>
  </si>
  <si>
    <t>Fill blanks with predicted values, preserving known ones.</t>
  </si>
  <si>
    <t>For each row (treated as an independent dataset), extract known angle of attack values α_known = [-5, -4, -3, -2, -1, 0, 1, 2, 3, 4, 5] and corresponding drag coefficients Cd_known from the provided data.</t>
  </si>
  <si>
    <t>Model the drag coefficient using a quadratic form Cd(α) ≈ a α² + b α + c, based on the standard subsonic drag polar where total drag is the sum of parasite (nearly constant at small angles) and induced drag (proportional to Cl², with Cl linear in α), resulting in parabolic dependence on α before stall. This aligns with the Vortex Lattice Method incorporating viscous effects via 2D section integration and 3D induced drag computation.</t>
  </si>
  <si>
    <t>Compute coefficients a, b, c via least squares regression: minimize ∑ (Cd_known_i - p(α_known_i))² using numerical fitting (e.g., np.polyfit with degree 2).</t>
  </si>
  <si>
    <t>Construct the quadratic function p(α) from the fitted coefficients.</t>
  </si>
  <si>
    <t>Round predicted values to 6 decimal places to match the precision of given data.</t>
  </si>
  <si>
    <t>Populate the full row with predicted values in blanks and preserve known values.</t>
  </si>
  <si>
    <r>
      <t>For each row, calculate the sum of y values (S_y), sum of x</t>
    </r>
    <r>
      <rPr>
        <i/>
        <sz val="9"/>
        <color rgb="FF0F1115"/>
        <rFont val="Segoe UI"/>
        <family val="2"/>
      </rPr>
      <t>y values (S_xy), and sum of x²</t>
    </r>
    <r>
      <rPr>
        <sz val="9"/>
        <color rgb="FF0F1115"/>
        <rFont val="Segoe UI"/>
        <family val="2"/>
      </rPr>
      <t>y values (S_x2y) for the given attack angles from -5 to 5.</t>
    </r>
  </si>
  <si>
    <t>Calculate the coefficients a, b, and c for the quadratic regression model y = a x² + b x + c using the formulas: a = (S_x2y - 10 S_y) / 858, b = S_xy / 110, c = (S_y - 110 a) / 11.</t>
  </si>
  <si>
    <t>For each missing attack angle (x = -8, -7, -6, 6, 7, 8, 9, 10), compute the predicted y value using the quadratic equation y = a x² + b x + c.</t>
  </si>
  <si>
    <t>The following table shows the calculated coefficients for each row:</t>
  </si>
  <si>
    <t>For each row, compute the sum of Cd values (S_y), the sum of α * Cd values (S_xy), and the sum of α² * Cd values (S_x2y) for the given α from -5 to 5.</t>
  </si>
  <si>
    <t>Calculate the coefficients a, b, and c for the quadratic model Cd = a α² + b α + c using the formulas: a = (S_x2y - 10 S_y) / 858, b = S_xy / 110, c = (S_y - 110 a) / 11.</t>
  </si>
  <si>
    <t>For each missing α (-8, -7, -6, 6, 7, 8, 9, 10), compute Cd using the quadratic model.</t>
  </si>
  <si>
    <t>Round the computed Cd values to five decimal places.</t>
  </si>
  <si>
    <r>
      <t>For each row, the drag coefficient (C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 is modeled as a quadratic function of the angle of attack (α) in degrees: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c.</t>
    </r>
  </si>
  <si>
    <r>
      <t>Using the given data points from α = -5° to 5°, compute the sums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),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α ×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), and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x2y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α² ×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).</t>
    </r>
  </si>
  <si>
    <r>
      <t>Calculate the coefficients a, b, and c using the formulas: a = (S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x2y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- 10 ×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 / 858, b =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110, c = (S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- 110 × a) / 11.</t>
    </r>
  </si>
  <si>
    <r>
      <t>For each missing angle of attack (α = -8, -7, -6, 6, 7, 8, 9, 10), compute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using the quadratic equation with the derived coefficients.</t>
    </r>
  </si>
  <si>
    <t>The calculated coefficients for each row are as follows:</t>
  </si>
  <si>
    <t>Extract attack-angle vector x from the first row (degrees).</t>
  </si>
  <si>
    <t>Treat each subsequent row r independently as a 1D table y_r(x) of a dimensionless aerodynamic coefficient.</t>
  </si>
  <si>
    <t>Identify known indices K = {i | y_r[i] is non-blank}. Sort K = {i_0 &lt; ... &lt; i_m}.</t>
  </si>
  <si>
    <t>For any interior i with i_j &lt;= i &lt;= i_{j+1}, fill by linear interpolation: ŷ[i] = y[i_j] + (y[i_{j+1}] - y[i_j]) * (x[i] - x[i_j]) / (x[i_{j+1}] - x[i_j]).</t>
  </si>
  <si>
    <t>For left-edge gaps (i &lt; i_0), linearly extrapolate using the first two known points (i_0,i_1): slope m_L = (y[i_1]-y[i_0])/(x[i_1]-x[i_0]); set ŷ[i] = y[i_0] + m_L (x[i]-x[i_0]).</t>
  </si>
  <si>
    <t>For right-edge gaps (i &gt; i_m), linearly extrapolate using the last two known points (i_{m-1},i_m): slope m_R = (y[i_m]-y[i_{m-1}])/(x[i_m]-x[i_{m-1}]); set ŷ[i] = y[i_m] + m_R (x[i]-x[i_m]).</t>
  </si>
  <si>
    <t>If a row has only one known value, fill all blanks with that constant (nearest-neighbor baseline).</t>
  </si>
  <si>
    <t>Assemble the completed table preserving the original layout of angles and coefficients.</t>
  </si>
  <si>
    <t>Take attack angles α (degrees) from the first row as the independent variable.</t>
  </si>
  <si>
    <t>Interpret each subsequent row r as a Cd(α) table for a fixed configuration; treat rows independently.</t>
  </si>
  <si>
    <t>Collect known index set K = {i | Cd[i] given}. Form data pairs (α[i], Cd[i]) for i ∈ K.</t>
  </si>
  <si>
    <t>Fit a quadratic model to known points by least squares: minimize  ∑_{i∈K} (Cd[i] − (a0 + a1 α[i] + a2 α[i]^2))^2, obtaining (a0,a1,a2).</t>
  </si>
  <si>
    <t>Evaluate the fitted model over all α to obtain Cd̂(α); fill blanks with Cd̂ while preserving original known values.</t>
  </si>
  <si>
    <t>Fallbacks: if |K|=2, use linear least squares (a0 + a1 α); if |K|=1, use a constant fill with the known value.</t>
  </si>
  <si>
    <t>Physical rationale: For small-to-moderate |α|, Cl varies approximately linearly with α and induced-drag scales ∝ Cl^2; hence total Cd ≈ Cd0 + k(α−α0)^2, i.e., a quadratic in α, which motivates the polynomial fit.</t>
  </si>
  <si>
    <t>Export the completed table as 'Predictions' and these steps as 'Steps'.</t>
  </si>
  <si>
    <t>Extract the attack-angle vector α (deg) from the first row.</t>
  </si>
  <si>
    <t>Treat each subsequent row independently as a table of drag coefficients Cd(α) for a fixed configuration and speed.</t>
  </si>
  <si>
    <t>Collect known pairs (α_i, Cd_i). If at least three points exist, fit the physics-informed model Cd(α)=Cd0 + k(α−α0)^2 with k≥0 via least squares over a grid of α0; otherwise use linear (2 points) or constant (1 point) fallback.</t>
  </si>
  <si>
    <t>Rationale: In subsonic flight, induced drag varies as C_Di = C_L^2/(π e AR), while C_L is approximately linear with α for small angles; thus Cd is well-approximated by a parabola in α about an effective zero-lift angle α0 [1]–[4]. For M≈0.5, subsonic compressibility increases lift-curve slope via Prandtl–Glauert-type corrections without changing the quadratic dependence of induced drag on C_L [5].</t>
  </si>
  <si>
    <t>Evaluate the fitted model at all α to fill the blank entries; preserve the original known values exactly.</t>
  </si>
  <si>
    <t>Geometry context (not enforced in fit): rectangular wing AR≈10; two-segment wing AR≈11.43 (b=2 m; S_rect=0.4 m²; S_two≈0.35 m²), which tends to reduce induced-drag curvature with increasing AR [2],[3].</t>
  </si>
  <si>
    <t>Export the completed table as 'Predictions' and the present steps (with references) as 'Steps'; include a 'Model_Params' sheet listing (Cd0,k,α0) per row for traceability.</t>
  </si>
  <si>
    <t>Select a polynomial model C(α) ≈ ∑_{k=0}^{4} a_k * α^k of degree 4 to approximate the aerodynamic behavior, as this degree balances capturing nonlinearity in small-angle regimes without overfitting, consistent with curve fitting practices in aerodynamics.</t>
  </si>
  <si>
    <t>Compute coefficients {a_4, a_3, a_2, a_1, a_0} via least squares regression: minimize ∑ (C_known_i - p(α_known_i))^2 using numerical fitting.</t>
  </si>
  <si>
    <t>Construct the polynomial function p(α) from the fitted coefficients.</t>
  </si>
  <si>
    <t>Model the drag coefficient using a quadratic form Cd(α) ≈ a α² + b α + c, derived from the standard subsonic drag polar where Cd = Cd0 + k Cl², and Cl is approximately linear with α for small angles, resulting in a parabolic dependence on α.</t>
  </si>
  <si>
    <t>Compute coefficients a, b, c via least squares regression: minimize ∑ (Cd_known_i - p(α_known_i))² using numerical fitting.</t>
  </si>
  <si>
    <t>Model the drag coefficient using a quadratic form Cd(α) ≈ a α² + b α + c, as this approximates the subsonic drag polar for low angles of attack in VLM-based simulations, where total drag combines profile (viscous) drag—evaluated via 2D boundary layer methods like in XFoil—with induced drag from the 3D vortex lattice, the latter being proportional to Cl² and thus quadratic in α given Cl's linearity with α.</t>
  </si>
  <si>
    <t>Analyze the aerodynamic coefficient behavior. For a rigid lifting body in steady airflow, aerodynamic coefficients typically follow parabolic trends near optimal angles, as described in aerodynamic theory.</t>
  </si>
  <si>
    <t>For each row, perform quadratic regression using the known data points (angles -5 to 5). Use the model: y = ax² + bx + c</t>
  </si>
  <si>
    <t>Calculate regression coefficients using the normal equations method with sums of x, x², x³, x⁴, y, xy, x²y</t>
  </si>
  <si>
    <t>Verify the quadratic model appropriateness by checking R² values and residual patterns for each dataset</t>
  </si>
  <si>
    <t>Extrapolate missing values (angles -8 to -6 and 6 to 10) using the derived quadratic equations</t>
  </si>
  <si>
    <t>Apply the same methodology consistently across all six independent datasets</t>
  </si>
  <si>
    <t>Analyze the drag coefficient behavior. For a rigid body in steady airflow, the drag coefficient typically follows a parabolic relationship with angle of attack, especially at moderate angles before stall. The minimum drag typically occurs near 0° angle of attack.</t>
  </si>
  <si>
    <r>
      <t>For each row, perform quadratic regression using the known data points (angles -5° to 5°). Use the model: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</t>
    </r>
  </si>
  <si>
    <t>Calculate regression coefficients using the normal equations method. Given the symmetric nature of the data around α = 0, utilize the simplified formulas: a = (Σx²y - 10Σy)/858, b = Σxy/110, c = (Σy - 110a)/11</t>
  </si>
  <si>
    <t>Verify the quadratic model appropriateness by checking that all datasets show parabolic behavior consistent with drag coefficient theory</t>
  </si>
  <si>
    <t>Extrapolate missing values (angles -8° to -6° and 6° to 10°) using the derived quadratic equations</t>
  </si>
  <si>
    <t>Analyze drag coefficient behavior using Vortex Lattice Method (VLM) with viscous corrections. The drag coefficient consists of profile drag (viscous) and induced drag (lift-dependent) components.</t>
  </si>
  <si>
    <r>
      <t>For each configuration, the total drag follows: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+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Di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where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Di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²/(π·AR·e)</t>
    </r>
  </si>
  <si>
    <r>
      <t>Using given data points (α = -5° to 5°), perform quadratic regression: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c, accounting for symmetric drag behavior around α = 0°</t>
    </r>
  </si>
  <si>
    <r>
      <t>Calculate coefficients using normal equations with symmetric simplification: a = (Σα²C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- 10ΣC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)/858, b = ΣαC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/110, c = (ΣC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- 110a)/11</t>
    </r>
  </si>
  <si>
    <t>Account for Mach number effects: higher Mach numbers (0.5 vs 0) show slightly different drag polar characteristics due to compressibility</t>
  </si>
  <si>
    <t>The tapered, swept configuration (rows 4-6) exhibits different induced drag characteristics due to modified span efficiency and lift distribution</t>
  </si>
  <si>
    <t>Extrapolate missing values (α = -8° to -6° and 6° to 10°) using derived quadratic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</si>
</sst>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  <font>
      <sz val="9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Thinking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Times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'Runtime Conditions'!$B$1</c:f>
              <c:strCache>
                <c:ptCount val="1"/>
                <c:pt idx="0">
                  <c:v>Vaguely Informed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'Runtime Conditions'!$A$2:$A$7</c:f>
              <c:strCache>
                <c:ptCount val="6"/>
                <c:pt idx="0">
                  <c:v>GPT5 - Thinking - No Internet</c:v>
                </c:pt>
                <c:pt idx="1">
                  <c:v>GPT5 - Thinking - Internet</c:v>
                </c:pt>
                <c:pt idx="2">
                  <c:v>SuperGrok - Expert - No Internet</c:v>
                </c:pt>
                <c:pt idx="3">
                  <c:v>SuperGrok - Expert - Internet</c:v>
                </c:pt>
                <c:pt idx="4">
                  <c:v>DeepSeek - DeepThink - No Internet</c:v>
                </c:pt>
                <c:pt idx="5">
                  <c:v>DeepSeek - DeepThink - Internet</c:v>
                </c:pt>
              </c:strCache>
            </c:strRef>
          </c:cat>
          <c:val>
            <c:numRef>
              <c:f>'Runtime Conditions'!$B$2:$B$7</c:f>
              <c:numCache>
                <c:formatCode>General</c:formatCode>
                <c:ptCount val="6"/>
                <c:pt idx="0">
                  <c:v>42</c:v>
                </c:pt>
                <c:pt idx="1">
                  <c:v>117</c:v>
                </c:pt>
                <c:pt idx="2">
                  <c:v>94</c:v>
                </c:pt>
                <c:pt idx="3">
                  <c:v>116</c:v>
                </c:pt>
                <c:pt idx="4">
                  <c:v>692</c:v>
                </c:pt>
                <c:pt idx="5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D-40A2-9696-22E2043D4BF9}"/>
            </c:ext>
          </c:extLst>
        </c:ser>
        <c:ser>
          <c:idx val="1"/>
          <c:order val="1"/>
          <c:tx>
            <c:strRef>
              <c:f>'Runtime Conditions'!$C$1</c:f>
              <c:strCache>
                <c:ptCount val="1"/>
                <c:pt idx="0">
                  <c:v>Partially Informed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'Runtime Conditions'!$A$2:$A$7</c:f>
              <c:strCache>
                <c:ptCount val="6"/>
                <c:pt idx="0">
                  <c:v>GPT5 - Thinking - No Internet</c:v>
                </c:pt>
                <c:pt idx="1">
                  <c:v>GPT5 - Thinking - Internet</c:v>
                </c:pt>
                <c:pt idx="2">
                  <c:v>SuperGrok - Expert - No Internet</c:v>
                </c:pt>
                <c:pt idx="3">
                  <c:v>SuperGrok - Expert - Internet</c:v>
                </c:pt>
                <c:pt idx="4">
                  <c:v>DeepSeek - DeepThink - No Internet</c:v>
                </c:pt>
                <c:pt idx="5">
                  <c:v>DeepSeek - DeepThink - Internet</c:v>
                </c:pt>
              </c:strCache>
            </c:strRef>
          </c:cat>
          <c:val>
            <c:numRef>
              <c:f>'Runtime Conditions'!$C$2:$C$7</c:f>
              <c:numCache>
                <c:formatCode>General</c:formatCode>
                <c:ptCount val="6"/>
                <c:pt idx="0">
                  <c:v>41</c:v>
                </c:pt>
                <c:pt idx="1">
                  <c:v>90</c:v>
                </c:pt>
                <c:pt idx="2">
                  <c:v>86</c:v>
                </c:pt>
                <c:pt idx="3">
                  <c:v>131</c:v>
                </c:pt>
                <c:pt idx="4">
                  <c:v>648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D-40A2-9696-22E2043D4BF9}"/>
            </c:ext>
          </c:extLst>
        </c:ser>
        <c:ser>
          <c:idx val="2"/>
          <c:order val="2"/>
          <c:tx>
            <c:strRef>
              <c:f>'Runtime Conditions'!$D$1</c:f>
              <c:strCache>
                <c:ptCount val="1"/>
                <c:pt idx="0">
                  <c:v>Thoroughly Informed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'Runtime Conditions'!$A$2:$A$7</c:f>
              <c:strCache>
                <c:ptCount val="6"/>
                <c:pt idx="0">
                  <c:v>GPT5 - Thinking - No Internet</c:v>
                </c:pt>
                <c:pt idx="1">
                  <c:v>GPT5 - Thinking - Internet</c:v>
                </c:pt>
                <c:pt idx="2">
                  <c:v>SuperGrok - Expert - No Internet</c:v>
                </c:pt>
                <c:pt idx="3">
                  <c:v>SuperGrok - Expert - Internet</c:v>
                </c:pt>
                <c:pt idx="4">
                  <c:v>DeepSeek - DeepThink - No Internet</c:v>
                </c:pt>
                <c:pt idx="5">
                  <c:v>DeepSeek - DeepThink - Internet</c:v>
                </c:pt>
              </c:strCache>
            </c:strRef>
          </c:cat>
          <c:val>
            <c:numRef>
              <c:f>'Runtime Conditions'!$D$2:$D$7</c:f>
              <c:numCache>
                <c:formatCode>General</c:formatCode>
                <c:ptCount val="6"/>
                <c:pt idx="0">
                  <c:v>142</c:v>
                </c:pt>
                <c:pt idx="1">
                  <c:v>116</c:v>
                </c:pt>
                <c:pt idx="2">
                  <c:v>167</c:v>
                </c:pt>
                <c:pt idx="3">
                  <c:v>118</c:v>
                </c:pt>
                <c:pt idx="4">
                  <c:v>415</c:v>
                </c:pt>
                <c:pt idx="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D-40A2-9696-22E2043D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178991"/>
        <c:axId val="1080190031"/>
      </c:barChart>
      <c:catAx>
        <c:axId val="10801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90031"/>
        <c:crosses val="autoZero"/>
        <c:auto val="1"/>
        <c:lblAlgn val="ctr"/>
        <c:lblOffset val="100"/>
        <c:noMultiLvlLbl val="0"/>
      </c:catAx>
      <c:valAx>
        <c:axId val="10801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Thinking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789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11</xdr:row>
      <xdr:rowOff>64770</xdr:rowOff>
    </xdr:from>
    <xdr:to>
      <xdr:col>4</xdr:col>
      <xdr:colOff>30480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F7A95-1726-9B20-22C6-1FDB6CB45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8230-26C1-4D07-8A43-342E7A172838}">
  <dimension ref="A1:D10"/>
  <sheetViews>
    <sheetView workbookViewId="0">
      <selection activeCell="K10" sqref="K10"/>
    </sheetView>
  </sheetViews>
  <sheetFormatPr defaultRowHeight="14.4" x14ac:dyDescent="0.3"/>
  <cols>
    <col min="1" max="1" width="30" customWidth="1"/>
    <col min="2" max="2" width="17.33203125" customWidth="1"/>
    <col min="3" max="3" width="21" customWidth="1"/>
    <col min="4" max="4" width="2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42</v>
      </c>
      <c r="C2">
        <v>41</v>
      </c>
      <c r="D2">
        <v>142</v>
      </c>
    </row>
    <row r="3" spans="1:4" x14ac:dyDescent="0.3">
      <c r="A3" t="s">
        <v>5</v>
      </c>
      <c r="B3">
        <v>117</v>
      </c>
      <c r="C3">
        <v>90</v>
      </c>
      <c r="D3">
        <v>116</v>
      </c>
    </row>
    <row r="4" spans="1:4" x14ac:dyDescent="0.3">
      <c r="A4" t="s">
        <v>6</v>
      </c>
      <c r="B4">
        <v>94</v>
      </c>
      <c r="C4">
        <v>86</v>
      </c>
      <c r="D4">
        <v>167</v>
      </c>
    </row>
    <row r="5" spans="1:4" x14ac:dyDescent="0.3">
      <c r="A5" t="s">
        <v>7</v>
      </c>
      <c r="B5">
        <v>116</v>
      </c>
      <c r="C5">
        <v>131</v>
      </c>
      <c r="D5">
        <v>118</v>
      </c>
    </row>
    <row r="6" spans="1:4" x14ac:dyDescent="0.3">
      <c r="A6" t="s">
        <v>8</v>
      </c>
      <c r="B6">
        <v>692</v>
      </c>
      <c r="C6">
        <v>648</v>
      </c>
      <c r="D6">
        <v>415</v>
      </c>
    </row>
    <row r="7" spans="1:4" x14ac:dyDescent="0.3">
      <c r="A7" t="s">
        <v>9</v>
      </c>
      <c r="B7">
        <v>176</v>
      </c>
      <c r="C7">
        <v>116</v>
      </c>
      <c r="D7">
        <v>125</v>
      </c>
    </row>
    <row r="9" spans="1:4" x14ac:dyDescent="0.3">
      <c r="B9" t="s">
        <v>11</v>
      </c>
      <c r="C9" t="s">
        <v>13</v>
      </c>
      <c r="D9" t="s">
        <v>15</v>
      </c>
    </row>
    <row r="10" spans="1:4" x14ac:dyDescent="0.3">
      <c r="A10" t="s">
        <v>10</v>
      </c>
      <c r="B10" t="s">
        <v>12</v>
      </c>
      <c r="C10" t="s">
        <v>14</v>
      </c>
      <c r="D10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56B5-7EDB-48B0-A363-D294648EE8E1}">
  <dimension ref="A1:D10"/>
  <sheetViews>
    <sheetView workbookViewId="0">
      <selection activeCell="C22" sqref="C22"/>
    </sheetView>
  </sheetViews>
  <sheetFormatPr defaultRowHeight="14.4" x14ac:dyDescent="0.3"/>
  <cols>
    <col min="1" max="1" width="30.21875" customWidth="1"/>
    <col min="2" max="2" width="18.77734375" customWidth="1"/>
    <col min="3" max="3" width="19.21875" customWidth="1"/>
    <col min="4" max="4" width="21" customWidth="1"/>
  </cols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3.2321879882602378E-2</v>
      </c>
      <c r="C2">
        <v>2.8814166666666658E-2</v>
      </c>
      <c r="D2">
        <v>4.9733666666666655E-2</v>
      </c>
    </row>
    <row r="3" spans="1:4" x14ac:dyDescent="0.3">
      <c r="A3" t="s">
        <v>20</v>
      </c>
      <c r="B3">
        <v>2.7360082665657991E-2</v>
      </c>
      <c r="C3">
        <v>2.6182429603729612E-2</v>
      </c>
      <c r="D3">
        <v>3.3403569153069149E-2</v>
      </c>
    </row>
    <row r="4" spans="1:4" x14ac:dyDescent="0.3">
      <c r="A4" t="s">
        <v>21</v>
      </c>
      <c r="B4">
        <v>2.7375132773586597E-2</v>
      </c>
      <c r="C4">
        <v>2.6179797711875979E-2</v>
      </c>
      <c r="D4">
        <v>3.3426879637710377E-2</v>
      </c>
    </row>
    <row r="5" spans="1:4" x14ac:dyDescent="0.3">
      <c r="A5" t="s">
        <v>22</v>
      </c>
      <c r="B5">
        <v>3.1881153620662302E-2</v>
      </c>
      <c r="C5">
        <v>3.0006500000000002E-2</v>
      </c>
      <c r="D5">
        <v>4.4251499999999999E-2</v>
      </c>
    </row>
    <row r="6" spans="1:4" x14ac:dyDescent="0.3">
      <c r="A6" t="s">
        <v>23</v>
      </c>
      <c r="B6">
        <v>2.7359732276835146E-2</v>
      </c>
      <c r="C6">
        <v>2.6182166666666673E-2</v>
      </c>
      <c r="D6">
        <v>3.3402833333333326E-2</v>
      </c>
    </row>
    <row r="7" spans="1:4" x14ac:dyDescent="0.3">
      <c r="A7" t="s">
        <v>24</v>
      </c>
      <c r="B7">
        <v>2.7359732276835146E-2</v>
      </c>
      <c r="C7">
        <v>2.6182166666666673E-2</v>
      </c>
      <c r="D7">
        <v>3.3402833333333326E-2</v>
      </c>
    </row>
    <row r="8" spans="1:4" x14ac:dyDescent="0.3">
      <c r="A8" t="s">
        <v>25</v>
      </c>
      <c r="B8">
        <v>3.1077985983411067E-2</v>
      </c>
      <c r="C8">
        <v>2.7768500000000002E-2</v>
      </c>
      <c r="D8">
        <v>4.7926833333333335E-2</v>
      </c>
    </row>
    <row r="9" spans="1:4" x14ac:dyDescent="0.3">
      <c r="A9" t="s">
        <v>26</v>
      </c>
      <c r="B9">
        <v>2.735422825633449E-2</v>
      </c>
      <c r="C9">
        <v>2.6177333333333341E-2</v>
      </c>
      <c r="D9">
        <v>3.3397499999999997E-2</v>
      </c>
    </row>
    <row r="10" spans="1:4" x14ac:dyDescent="0.3">
      <c r="A10" t="s">
        <v>27</v>
      </c>
      <c r="B10">
        <v>2.735422825633449E-2</v>
      </c>
      <c r="C10">
        <v>2.6177333333333341E-2</v>
      </c>
      <c r="D10">
        <v>3.3397499999999997E-2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E3D1-988A-4BDD-8912-FB50712EC597}">
  <dimension ref="A1:I9"/>
  <sheetViews>
    <sheetView workbookViewId="0">
      <selection activeCell="D2" sqref="D2"/>
    </sheetView>
  </sheetViews>
  <sheetFormatPr defaultRowHeight="14.4" x14ac:dyDescent="0.3"/>
  <cols>
    <col min="1" max="1" width="13.109375" customWidth="1"/>
    <col min="2" max="2" width="17.6640625" customWidth="1"/>
    <col min="3" max="3" width="23.5546875" customWidth="1"/>
    <col min="4" max="4" width="18" customWidth="1"/>
    <col min="5" max="5" width="22.33203125" customWidth="1"/>
    <col min="6" max="6" width="27.44140625" customWidth="1"/>
    <col min="7" max="7" width="17" customWidth="1"/>
    <col min="8" max="8" width="18.6640625" customWidth="1"/>
    <col min="9" max="9" width="17.21875" customWidth="1"/>
  </cols>
  <sheetData>
    <row r="1" spans="1:9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ht="187.2" x14ac:dyDescent="0.3">
      <c r="A2" t="s">
        <v>37</v>
      </c>
      <c r="B2" t="s">
        <v>45</v>
      </c>
      <c r="C2" t="s">
        <v>53</v>
      </c>
      <c r="D2" s="1" t="s">
        <v>60</v>
      </c>
      <c r="E2" s="1" t="s">
        <v>67</v>
      </c>
      <c r="F2" s="1" t="s">
        <v>73</v>
      </c>
      <c r="G2" s="2" t="s">
        <v>79</v>
      </c>
      <c r="H2" s="2" t="s">
        <v>83</v>
      </c>
      <c r="I2" s="2" t="s">
        <v>87</v>
      </c>
    </row>
    <row r="3" spans="1:9" ht="216" x14ac:dyDescent="0.3">
      <c r="A3" t="s">
        <v>38</v>
      </c>
      <c r="B3" t="s">
        <v>46</v>
      </c>
      <c r="C3" t="s">
        <v>54</v>
      </c>
      <c r="D3" s="1" t="s">
        <v>61</v>
      </c>
      <c r="E3" s="1" t="s">
        <v>68</v>
      </c>
      <c r="F3" s="1" t="s">
        <v>74</v>
      </c>
      <c r="G3" s="2" t="s">
        <v>80</v>
      </c>
      <c r="H3" s="2" t="s">
        <v>84</v>
      </c>
      <c r="I3" s="2" t="s">
        <v>88</v>
      </c>
    </row>
    <row r="4" spans="1:9" ht="158.4" x14ac:dyDescent="0.3">
      <c r="A4" t="s">
        <v>39</v>
      </c>
      <c r="B4" t="s">
        <v>47</v>
      </c>
      <c r="C4" t="s">
        <v>55</v>
      </c>
      <c r="D4" s="1" t="s">
        <v>62</v>
      </c>
      <c r="E4" s="1" t="s">
        <v>69</v>
      </c>
      <c r="F4" s="1" t="s">
        <v>75</v>
      </c>
      <c r="G4" s="2" t="s">
        <v>81</v>
      </c>
      <c r="H4" s="2" t="s">
        <v>85</v>
      </c>
      <c r="I4" s="2" t="s">
        <v>89</v>
      </c>
    </row>
    <row r="5" spans="1:9" ht="105.6" x14ac:dyDescent="0.3">
      <c r="A5" t="s">
        <v>40</v>
      </c>
      <c r="B5" t="s">
        <v>48</v>
      </c>
      <c r="C5" t="s">
        <v>56</v>
      </c>
      <c r="D5" s="1" t="s">
        <v>63</v>
      </c>
      <c r="E5" s="1" t="s">
        <v>70</v>
      </c>
      <c r="F5" s="1" t="s">
        <v>76</v>
      </c>
      <c r="G5" s="2" t="s">
        <v>82</v>
      </c>
      <c r="H5" s="2" t="s">
        <v>86</v>
      </c>
      <c r="I5" s="2" t="s">
        <v>90</v>
      </c>
    </row>
    <row r="6" spans="1:9" ht="57.6" x14ac:dyDescent="0.3">
      <c r="A6" t="s">
        <v>41</v>
      </c>
      <c r="B6" t="s">
        <v>49</v>
      </c>
      <c r="C6" t="s">
        <v>57</v>
      </c>
      <c r="D6" s="1" t="s">
        <v>64</v>
      </c>
      <c r="E6" s="1" t="s">
        <v>71</v>
      </c>
      <c r="F6" s="1" t="s">
        <v>64</v>
      </c>
      <c r="I6" s="2" t="s">
        <v>91</v>
      </c>
    </row>
    <row r="7" spans="1:9" ht="72" x14ac:dyDescent="0.3">
      <c r="A7" t="s">
        <v>42</v>
      </c>
      <c r="B7" t="s">
        <v>50</v>
      </c>
      <c r="C7" t="s">
        <v>58</v>
      </c>
      <c r="D7" s="1" t="s">
        <v>65</v>
      </c>
      <c r="E7" s="1" t="s">
        <v>72</v>
      </c>
      <c r="F7" s="1" t="s">
        <v>77</v>
      </c>
    </row>
    <row r="8" spans="1:9" ht="57.6" x14ac:dyDescent="0.3">
      <c r="A8" t="s">
        <v>43</v>
      </c>
      <c r="B8" t="s">
        <v>51</v>
      </c>
      <c r="C8" t="s">
        <v>59</v>
      </c>
      <c r="D8" s="1" t="s">
        <v>66</v>
      </c>
      <c r="F8" s="1" t="s">
        <v>78</v>
      </c>
    </row>
    <row r="9" spans="1:9" x14ac:dyDescent="0.3">
      <c r="A9" t="s">
        <v>44</v>
      </c>
      <c r="B9" t="s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A8C2-FE4D-4EDD-BBCD-522AFC9E984B}">
  <dimension ref="A1:D10"/>
  <sheetViews>
    <sheetView workbookViewId="0">
      <selection activeCell="F28" sqref="F28"/>
    </sheetView>
  </sheetViews>
  <sheetFormatPr defaultRowHeight="14.4" x14ac:dyDescent="0.3"/>
  <cols>
    <col min="1" max="1" width="25.88671875" customWidth="1"/>
    <col min="2" max="2" width="13.6640625" customWidth="1"/>
    <col min="3" max="3" width="12.33203125" customWidth="1"/>
    <col min="4" max="4" width="12.77734375" customWidth="1"/>
  </cols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3.2321879882602378E-2</v>
      </c>
      <c r="C2">
        <v>2.8814166666666658E-2</v>
      </c>
      <c r="D2">
        <v>4.9733666666666655E-2</v>
      </c>
    </row>
    <row r="3" spans="1:4" x14ac:dyDescent="0.3">
      <c r="A3" t="s">
        <v>20</v>
      </c>
      <c r="B3">
        <v>2.7360082665657991E-2</v>
      </c>
      <c r="C3">
        <v>2.6182429603729612E-2</v>
      </c>
      <c r="D3">
        <v>3.3403569153069149E-2</v>
      </c>
    </row>
    <row r="4" spans="1:4" x14ac:dyDescent="0.3">
      <c r="A4" t="s">
        <v>21</v>
      </c>
      <c r="B4">
        <v>2.7375132773586597E-2</v>
      </c>
      <c r="C4">
        <v>2.6179797711875979E-2</v>
      </c>
      <c r="D4">
        <v>3.3426879637710377E-2</v>
      </c>
    </row>
    <row r="5" spans="1:4" x14ac:dyDescent="0.3">
      <c r="A5" t="s">
        <v>22</v>
      </c>
      <c r="B5">
        <v>3.1881153620662302E-2</v>
      </c>
      <c r="C5">
        <v>3.0006500000000002E-2</v>
      </c>
      <c r="D5">
        <v>4.4251499999999999E-2</v>
      </c>
    </row>
    <row r="6" spans="1:4" x14ac:dyDescent="0.3">
      <c r="A6" t="s">
        <v>23</v>
      </c>
      <c r="B6">
        <v>2.7359732276835146E-2</v>
      </c>
      <c r="C6">
        <v>2.6182166666666673E-2</v>
      </c>
      <c r="D6">
        <v>3.3402833333333326E-2</v>
      </c>
    </row>
    <row r="7" spans="1:4" x14ac:dyDescent="0.3">
      <c r="A7" t="s">
        <v>24</v>
      </c>
      <c r="B7">
        <v>2.7359732276835146E-2</v>
      </c>
      <c r="C7">
        <v>2.6182166666666673E-2</v>
      </c>
      <c r="D7">
        <v>3.3402833333333326E-2</v>
      </c>
    </row>
    <row r="8" spans="1:4" x14ac:dyDescent="0.3">
      <c r="A8" t="s">
        <v>25</v>
      </c>
      <c r="B8">
        <v>2.8841051103037845E-2</v>
      </c>
      <c r="C8">
        <v>2.7407833333333336E-2</v>
      </c>
      <c r="D8">
        <v>3.6916499999999998E-2</v>
      </c>
    </row>
    <row r="9" spans="1:4" x14ac:dyDescent="0.3">
      <c r="A9" t="s">
        <v>26</v>
      </c>
      <c r="B9">
        <v>2.735422825633449E-2</v>
      </c>
      <c r="C9">
        <v>2.6177333333333341E-2</v>
      </c>
      <c r="D9">
        <v>3.3397499999999997E-2</v>
      </c>
    </row>
    <row r="10" spans="1:4" x14ac:dyDescent="0.3">
      <c r="A10" t="s">
        <v>27</v>
      </c>
      <c r="B10">
        <v>2.735422825633449E-2</v>
      </c>
      <c r="C10">
        <v>2.6177333333333341E-2</v>
      </c>
      <c r="D10">
        <v>3.3397499999999997E-2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585D-225F-4C4B-B467-5995AC3D1425}">
  <dimension ref="A1:I9"/>
  <sheetViews>
    <sheetView tabSelected="1" topLeftCell="A2" workbookViewId="0">
      <selection activeCell="K2" sqref="K2"/>
    </sheetView>
  </sheetViews>
  <sheetFormatPr defaultRowHeight="14.4" x14ac:dyDescent="0.3"/>
  <cols>
    <col min="1" max="1" width="19.109375" customWidth="1"/>
  </cols>
  <sheetData>
    <row r="1" spans="1:9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ht="409.6" x14ac:dyDescent="0.3">
      <c r="A2" t="s">
        <v>92</v>
      </c>
      <c r="B2" t="s">
        <v>100</v>
      </c>
      <c r="C2" t="s">
        <v>108</v>
      </c>
      <c r="D2" s="1" t="s">
        <v>60</v>
      </c>
      <c r="E2" s="1" t="s">
        <v>73</v>
      </c>
      <c r="F2" s="1" t="s">
        <v>73</v>
      </c>
      <c r="G2" s="2" t="s">
        <v>121</v>
      </c>
      <c r="H2" s="2" t="s">
        <v>127</v>
      </c>
      <c r="I2" s="2" t="s">
        <v>132</v>
      </c>
    </row>
    <row r="3" spans="1:9" ht="409.6" x14ac:dyDescent="0.3">
      <c r="A3" t="s">
        <v>93</v>
      </c>
      <c r="B3" t="s">
        <v>101</v>
      </c>
      <c r="C3" t="s">
        <v>109</v>
      </c>
      <c r="D3" s="1" t="s">
        <v>115</v>
      </c>
      <c r="E3" s="1" t="s">
        <v>118</v>
      </c>
      <c r="F3" s="1" t="s">
        <v>120</v>
      </c>
      <c r="G3" s="2" t="s">
        <v>122</v>
      </c>
      <c r="H3" s="2" t="s">
        <v>128</v>
      </c>
      <c r="I3" s="2" t="s">
        <v>133</v>
      </c>
    </row>
    <row r="4" spans="1:9" ht="396" x14ac:dyDescent="0.3">
      <c r="A4" t="s">
        <v>94</v>
      </c>
      <c r="B4" t="s">
        <v>102</v>
      </c>
      <c r="C4" t="s">
        <v>110</v>
      </c>
      <c r="D4" s="1" t="s">
        <v>116</v>
      </c>
      <c r="E4" s="1" t="s">
        <v>119</v>
      </c>
      <c r="F4" s="1" t="s">
        <v>119</v>
      </c>
      <c r="G4" s="2" t="s">
        <v>123</v>
      </c>
      <c r="H4" s="2" t="s">
        <v>129</v>
      </c>
      <c r="I4" s="2" t="s">
        <v>134</v>
      </c>
    </row>
    <row r="5" spans="1:9" ht="343.2" x14ac:dyDescent="0.3">
      <c r="A5" t="s">
        <v>95</v>
      </c>
      <c r="B5" t="s">
        <v>103</v>
      </c>
      <c r="C5" t="s">
        <v>111</v>
      </c>
      <c r="D5" s="1" t="s">
        <v>117</v>
      </c>
      <c r="E5" s="1" t="s">
        <v>76</v>
      </c>
      <c r="F5" s="1" t="s">
        <v>76</v>
      </c>
      <c r="G5" s="2" t="s">
        <v>124</v>
      </c>
      <c r="H5" s="2" t="s">
        <v>130</v>
      </c>
      <c r="I5" s="2" t="s">
        <v>135</v>
      </c>
    </row>
    <row r="6" spans="1:9" ht="237.6" x14ac:dyDescent="0.3">
      <c r="A6" t="s">
        <v>96</v>
      </c>
      <c r="B6" t="s">
        <v>104</v>
      </c>
      <c r="C6" t="s">
        <v>112</v>
      </c>
      <c r="D6" s="1" t="s">
        <v>64</v>
      </c>
      <c r="E6" s="1" t="s">
        <v>64</v>
      </c>
      <c r="F6" s="1" t="s">
        <v>64</v>
      </c>
      <c r="G6" s="2" t="s">
        <v>125</v>
      </c>
      <c r="H6" s="2" t="s">
        <v>131</v>
      </c>
      <c r="I6" s="2" t="s">
        <v>136</v>
      </c>
    </row>
    <row r="7" spans="1:9" ht="264" x14ac:dyDescent="0.3">
      <c r="A7" t="s">
        <v>97</v>
      </c>
      <c r="B7" t="s">
        <v>105</v>
      </c>
      <c r="C7" t="s">
        <v>113</v>
      </c>
      <c r="D7" s="1" t="s">
        <v>77</v>
      </c>
      <c r="E7" s="1" t="s">
        <v>77</v>
      </c>
      <c r="F7" s="1" t="s">
        <v>77</v>
      </c>
      <c r="G7" s="2" t="s">
        <v>126</v>
      </c>
      <c r="H7" s="2" t="s">
        <v>126</v>
      </c>
      <c r="I7" s="2" t="s">
        <v>137</v>
      </c>
    </row>
    <row r="8" spans="1:9" ht="171.6" x14ac:dyDescent="0.3">
      <c r="A8" t="s">
        <v>98</v>
      </c>
      <c r="B8" t="s">
        <v>106</v>
      </c>
      <c r="C8" t="s">
        <v>114</v>
      </c>
      <c r="D8" s="1" t="s">
        <v>78</v>
      </c>
      <c r="E8" s="1" t="s">
        <v>78</v>
      </c>
      <c r="F8" s="1" t="s">
        <v>78</v>
      </c>
      <c r="I8" s="2" t="s">
        <v>138</v>
      </c>
    </row>
    <row r="9" spans="1:9" x14ac:dyDescent="0.3">
      <c r="A9" t="s">
        <v>99</v>
      </c>
      <c r="B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Runtime Conditions</vt:lpstr>
      <vt:lpstr>Accuracy - NoInternet</vt:lpstr>
      <vt:lpstr>Steps - NoInternet</vt:lpstr>
      <vt:lpstr>Accuracy - Internet</vt:lpstr>
      <vt:lpstr>Steps - 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2025-11-02T22:16:50Z</dcterms:created>
  <dcterms:modified xsi:type="dcterms:W3CDTF">2025-11-03T02:32:36Z</dcterms:modified>
</cp:coreProperties>
</file>